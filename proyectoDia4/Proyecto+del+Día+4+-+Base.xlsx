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l\OneDrive\Escritorio\practicas_exel\proyectoDia4\"/>
    </mc:Choice>
  </mc:AlternateContent>
  <xr:revisionPtr revIDLastSave="0" documentId="13_ncr:1_{7A372BC3-E454-4F3D-B8C9-8353CE0967AB}" xr6:coauthVersionLast="47" xr6:coauthVersionMax="47" xr10:uidLastSave="{00000000-0000-0000-0000-000000000000}"/>
  <bookViews>
    <workbookView xWindow="0" yWindow="0" windowWidth="14400" windowHeight="15600" xr2:uid="{3693CBDD-13EA-4751-A155-BB0DA58806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 a="1"/>
  <c r="L5" i="1" s="1"/>
  <c r="J6" i="1" a="1"/>
  <c r="J6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<sst xmlns="http://schemas.openxmlformats.org/spreadsheetml/2006/main" count="37" uniqueCount="37">
  <si>
    <t>Asignatura: Análisis de Datos</t>
  </si>
  <si>
    <t>Año: 20X1</t>
  </si>
  <si>
    <t>Estudiante</t>
  </si>
  <si>
    <t>Examen 1</t>
  </si>
  <si>
    <t>Examen 2</t>
  </si>
  <si>
    <t>Examen 3</t>
  </si>
  <si>
    <t>Trabajo Práctico 1</t>
  </si>
  <si>
    <t>Trabajo Práctico 2</t>
  </si>
  <si>
    <t>Exposición Oral</t>
  </si>
  <si>
    <t>Califación Final</t>
  </si>
  <si>
    <t>Calificación Promedio Estudiantes que Desaprobaron:</t>
  </si>
  <si>
    <t>Lista en Orden Alfabético</t>
  </si>
  <si>
    <t>Chávez</t>
  </si>
  <si>
    <t>Antuna</t>
  </si>
  <si>
    <t>Romo</t>
  </si>
  <si>
    <t>Talavera</t>
  </si>
  <si>
    <t>Lozano</t>
  </si>
  <si>
    <t>Alvarado</t>
  </si>
  <si>
    <t>Gallardo</t>
  </si>
  <si>
    <t>Ochoa</t>
  </si>
  <si>
    <t>Pineda</t>
  </si>
  <si>
    <t>Araujo</t>
  </si>
  <si>
    <t>Funes</t>
  </si>
  <si>
    <t>Sánchez</t>
  </si>
  <si>
    <t>Herrera</t>
  </si>
  <si>
    <t>Jiménez</t>
  </si>
  <si>
    <t>Guardado</t>
  </si>
  <si>
    <t>Montes</t>
  </si>
  <si>
    <t>Rodríguez</t>
  </si>
  <si>
    <t>Moreno</t>
  </si>
  <si>
    <t>Gutiérrez</t>
  </si>
  <si>
    <t>Álvarez</t>
  </si>
  <si>
    <t>Vega</t>
  </si>
  <si>
    <t>Martín</t>
  </si>
  <si>
    <t>Vásquez</t>
  </si>
  <si>
    <t>Cota</t>
  </si>
  <si>
    <t>Arteaga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</si>
</sst>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28573</xdr:colOff>
      <xdr:row>0</xdr:row>
      <xdr:rowOff>47625</xdr:rowOff>
    </xdr:from>
    <xdr:to>
      <xdr:col>12</xdr:col>
      <xdr:colOff>19050</xdr:colOff>
      <xdr:row>2</xdr:row>
      <xdr:rowOff>104775</xdr:rowOff>
    </xdr:to>
    <xdr:sp macro="" textlink="">
      <xdr:nvSpPr>
        <xdr:cNvPr id="2" name="Bocadillo: rectángulo 1">
          <a:extLst>
            <a:ext uri="{FF2B5EF4-FFF2-40B4-BE49-F238E27FC236}">
              <a16:creationId xmlns:a16="http://schemas.microsoft.com/office/drawing/2014/main" id="{7DAE9059-9571-4122-83C7-FC10D69AC358}"/>
            </a:ext>
          </a:extLst>
        </xdr:cNvPr>
        <xdr:cNvSpPr/>
      </xdr:nvSpPr>
      <xdr:spPr>
        <a:xfrm>
          <a:off x="7553323" y="47625"/>
          <a:ext cx="1857377" cy="438150"/>
        </a:xfrm>
        <a:prstGeom prst="wedgeRectCallout">
          <a:avLst/>
        </a:prstGeom>
        <a:solidFill>
          <a:schemeClr val="accent2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100" b="1">
              <a:solidFill>
                <a:schemeClr val="bg1"/>
              </a:solidFill>
            </a:rPr>
            <a:t>Si tienes Excel 365, 2021 o posterior: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30A0-D39A-4B64-93BF-278A923C106B}">
  <dimension ref="A1:L29"/>
  <sheetViews>
    <sheetView tabSelected="1" topLeftCell="D1" workbookViewId="0">
      <selection activeCell="L6" sqref="L6"/>
    </sheetView>
  </sheetViews>
  <sheetFormatPr baseColWidth="10" defaultRowHeight="15" x14ac:dyDescent="0.25"/>
  <cols>
    <col min="2" max="7" width="10.42578125" style="5" customWidth="1"/>
    <col min="8" max="8" width="12.7109375" customWidth="1"/>
    <col min="9" max="9" width="2.7109375" customWidth="1"/>
    <col min="10" max="10" width="23.42578125" bestFit="1" customWidth="1"/>
    <col min="11" max="11" width="2.7109375" customWidth="1"/>
    <col min="12" max="12" width="25.28515625" customWidth="1"/>
  </cols>
  <sheetData>
    <row r="1" spans="1:12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12" x14ac:dyDescent="0.25">
      <c r="A2" s="6" t="s">
        <v>1</v>
      </c>
      <c r="B2" s="6"/>
      <c r="C2" s="6"/>
      <c r="D2" s="6"/>
      <c r="E2" s="6"/>
      <c r="F2" s="6"/>
      <c r="G2" s="6"/>
      <c r="H2" s="6"/>
    </row>
    <row r="4" spans="1:12" ht="30" x14ac:dyDescent="0.25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J4" s="7" t="s">
        <v>10</v>
      </c>
      <c r="L4" s="1" t="s">
        <v>11</v>
      </c>
    </row>
    <row r="5" spans="1:12" x14ac:dyDescent="0.25">
      <c r="A5" s="3" t="s">
        <v>12</v>
      </c>
      <c r="B5" s="4">
        <v>10</v>
      </c>
      <c r="C5" s="4">
        <v>6</v>
      </c>
      <c r="D5" s="4">
        <v>6</v>
      </c>
      <c r="E5" s="4">
        <v>2</v>
      </c>
      <c r="F5" s="4">
        <v>3</v>
      </c>
      <c r="G5" s="4">
        <v>6</v>
      </c>
      <c r="H5" s="8">
        <f>ROUND(AVERAGE(B5:G5),0)</f>
        <v>6</v>
      </c>
      <c r="J5" s="7"/>
      <c r="L5" t="str" cm="1">
        <f t="array" ref="L5:L29">_xlfn._xlws.SORT(A5:A29)</f>
        <v>Alvarado</v>
      </c>
    </row>
    <row r="6" spans="1:12" x14ac:dyDescent="0.25">
      <c r="A6" s="3" t="s">
        <v>13</v>
      </c>
      <c r="B6" s="4">
        <v>6</v>
      </c>
      <c r="C6" s="4">
        <v>10</v>
      </c>
      <c r="D6" s="4">
        <v>7</v>
      </c>
      <c r="E6" s="4">
        <v>9</v>
      </c>
      <c r="F6" s="4">
        <v>10</v>
      </c>
      <c r="G6" s="4">
        <v>8</v>
      </c>
      <c r="H6" s="8">
        <f t="shared" ref="H6:H29" si="0">ROUND(AVERAGE(B6:G6),0)</f>
        <v>8</v>
      </c>
      <c r="J6" s="9" cm="1">
        <f t="array" ref="J6">AVERAGE(IF(H5:H29&lt;6,H5:H29,""))</f>
        <v>4</v>
      </c>
      <c r="L6" t="str">
        <v>Álvarez</v>
      </c>
    </row>
    <row r="7" spans="1:12" x14ac:dyDescent="0.25">
      <c r="A7" s="3" t="s">
        <v>14</v>
      </c>
      <c r="B7" s="4">
        <v>7</v>
      </c>
      <c r="C7" s="4">
        <v>10</v>
      </c>
      <c r="D7" s="4">
        <v>8</v>
      </c>
      <c r="E7" s="4">
        <v>2</v>
      </c>
      <c r="F7" s="4">
        <v>9</v>
      </c>
      <c r="G7" s="4">
        <v>9</v>
      </c>
      <c r="H7" s="8">
        <f t="shared" si="0"/>
        <v>8</v>
      </c>
      <c r="L7" t="str">
        <v>Antuna</v>
      </c>
    </row>
    <row r="8" spans="1:12" x14ac:dyDescent="0.25">
      <c r="A8" s="3" t="s">
        <v>15</v>
      </c>
      <c r="B8" s="4">
        <v>10</v>
      </c>
      <c r="C8" s="4">
        <v>10</v>
      </c>
      <c r="D8" s="4">
        <v>10</v>
      </c>
      <c r="E8" s="4">
        <v>6</v>
      </c>
      <c r="F8" s="4">
        <v>8</v>
      </c>
      <c r="G8" s="4">
        <v>6</v>
      </c>
      <c r="H8" s="8">
        <f t="shared" si="0"/>
        <v>8</v>
      </c>
      <c r="L8" t="str">
        <v>Araujo</v>
      </c>
    </row>
    <row r="9" spans="1:12" x14ac:dyDescent="0.25">
      <c r="A9" s="3" t="s">
        <v>16</v>
      </c>
      <c r="B9" s="4">
        <v>5</v>
      </c>
      <c r="C9" s="4">
        <v>10</v>
      </c>
      <c r="D9" s="4">
        <v>10</v>
      </c>
      <c r="E9" s="4">
        <v>8</v>
      </c>
      <c r="F9" s="4">
        <v>10</v>
      </c>
      <c r="G9" s="4">
        <v>6</v>
      </c>
      <c r="H9" s="8">
        <f t="shared" si="0"/>
        <v>8</v>
      </c>
      <c r="L9" t="str">
        <v>Arteaga</v>
      </c>
    </row>
    <row r="10" spans="1:12" x14ac:dyDescent="0.25">
      <c r="A10" s="3" t="s">
        <v>17</v>
      </c>
      <c r="B10" s="4">
        <v>9</v>
      </c>
      <c r="C10" s="4">
        <v>10</v>
      </c>
      <c r="D10" s="4">
        <v>5</v>
      </c>
      <c r="E10" s="4">
        <v>10</v>
      </c>
      <c r="F10" s="4">
        <v>5</v>
      </c>
      <c r="G10" s="4">
        <v>10</v>
      </c>
      <c r="H10" s="8">
        <f t="shared" si="0"/>
        <v>8</v>
      </c>
      <c r="L10" t="str">
        <v>Chávez</v>
      </c>
    </row>
    <row r="11" spans="1:12" x14ac:dyDescent="0.25">
      <c r="A11" s="3" t="s">
        <v>18</v>
      </c>
      <c r="B11" s="4">
        <v>6</v>
      </c>
      <c r="C11" s="4">
        <v>7</v>
      </c>
      <c r="D11" s="4">
        <v>0</v>
      </c>
      <c r="E11" s="4">
        <v>2</v>
      </c>
      <c r="F11" s="4">
        <v>2</v>
      </c>
      <c r="G11" s="4">
        <v>0</v>
      </c>
      <c r="H11" s="8">
        <f t="shared" si="0"/>
        <v>3</v>
      </c>
      <c r="L11" t="str">
        <v>Cota</v>
      </c>
    </row>
    <row r="12" spans="1:12" x14ac:dyDescent="0.25">
      <c r="A12" s="3" t="s">
        <v>19</v>
      </c>
      <c r="B12" s="4">
        <v>5</v>
      </c>
      <c r="C12" s="4">
        <v>10</v>
      </c>
      <c r="D12" s="4">
        <v>10</v>
      </c>
      <c r="E12" s="4">
        <v>10</v>
      </c>
      <c r="F12" s="4">
        <v>10</v>
      </c>
      <c r="G12" s="4">
        <v>10</v>
      </c>
      <c r="H12" s="8">
        <f t="shared" si="0"/>
        <v>9</v>
      </c>
      <c r="L12" t="str">
        <v>Funes</v>
      </c>
    </row>
    <row r="13" spans="1:12" x14ac:dyDescent="0.25">
      <c r="A13" s="3" t="s">
        <v>20</v>
      </c>
      <c r="B13" s="4">
        <v>7</v>
      </c>
      <c r="C13" s="4">
        <v>10</v>
      </c>
      <c r="D13" s="4">
        <v>10</v>
      </c>
      <c r="E13" s="4">
        <v>10</v>
      </c>
      <c r="F13" s="4">
        <v>10</v>
      </c>
      <c r="G13" s="4">
        <v>10</v>
      </c>
      <c r="H13" s="8">
        <f t="shared" si="0"/>
        <v>10</v>
      </c>
      <c r="L13" t="str">
        <v>Gallardo</v>
      </c>
    </row>
    <row r="14" spans="1:12" x14ac:dyDescent="0.25">
      <c r="A14" s="3" t="s">
        <v>21</v>
      </c>
      <c r="B14" s="4">
        <v>10</v>
      </c>
      <c r="C14" s="4">
        <v>7</v>
      </c>
      <c r="D14" s="4">
        <v>9</v>
      </c>
      <c r="E14" s="4">
        <v>6</v>
      </c>
      <c r="F14" s="4">
        <v>6</v>
      </c>
      <c r="G14" s="4">
        <v>7</v>
      </c>
      <c r="H14" s="8">
        <f t="shared" si="0"/>
        <v>8</v>
      </c>
      <c r="L14" t="str">
        <v>Guardado</v>
      </c>
    </row>
    <row r="15" spans="1:12" x14ac:dyDescent="0.25">
      <c r="A15" s="3" t="s">
        <v>22</v>
      </c>
      <c r="B15" s="4">
        <v>4</v>
      </c>
      <c r="C15" s="4">
        <v>10</v>
      </c>
      <c r="D15" s="4">
        <v>2</v>
      </c>
      <c r="E15" s="4">
        <v>8</v>
      </c>
      <c r="F15" s="4">
        <v>4</v>
      </c>
      <c r="G15" s="4">
        <v>5</v>
      </c>
      <c r="H15" s="8">
        <f t="shared" si="0"/>
        <v>6</v>
      </c>
      <c r="L15" t="str">
        <v>Gutiérrez</v>
      </c>
    </row>
    <row r="16" spans="1:12" x14ac:dyDescent="0.25">
      <c r="A16" s="3" t="s">
        <v>23</v>
      </c>
      <c r="B16" s="4">
        <v>2</v>
      </c>
      <c r="C16" s="4">
        <v>2</v>
      </c>
      <c r="D16" s="4">
        <v>3</v>
      </c>
      <c r="E16" s="4">
        <v>2</v>
      </c>
      <c r="F16" s="4">
        <v>10</v>
      </c>
      <c r="G16" s="4">
        <v>6</v>
      </c>
      <c r="H16" s="8">
        <f t="shared" si="0"/>
        <v>4</v>
      </c>
      <c r="L16" t="str">
        <v>Herrera</v>
      </c>
    </row>
    <row r="17" spans="1:12" x14ac:dyDescent="0.25">
      <c r="A17" s="3" t="s">
        <v>24</v>
      </c>
      <c r="B17" s="4">
        <v>8</v>
      </c>
      <c r="C17" s="4">
        <v>7</v>
      </c>
      <c r="D17" s="4">
        <v>5</v>
      </c>
      <c r="E17" s="4">
        <v>6</v>
      </c>
      <c r="F17" s="4">
        <v>10</v>
      </c>
      <c r="G17" s="4">
        <v>10</v>
      </c>
      <c r="H17" s="8">
        <f t="shared" si="0"/>
        <v>8</v>
      </c>
      <c r="L17" t="str">
        <v>Jiménez</v>
      </c>
    </row>
    <row r="18" spans="1:12" x14ac:dyDescent="0.25">
      <c r="A18" s="3" t="s">
        <v>25</v>
      </c>
      <c r="B18" s="4">
        <v>1</v>
      </c>
      <c r="C18" s="4">
        <v>7</v>
      </c>
      <c r="D18" s="4">
        <v>8</v>
      </c>
      <c r="E18" s="4">
        <v>3</v>
      </c>
      <c r="F18" s="4">
        <v>2</v>
      </c>
      <c r="G18" s="4">
        <v>6</v>
      </c>
      <c r="H18" s="8">
        <f t="shared" si="0"/>
        <v>5</v>
      </c>
      <c r="L18" t="str">
        <v>Lozano</v>
      </c>
    </row>
    <row r="19" spans="1:12" x14ac:dyDescent="0.25">
      <c r="A19" s="3" t="s">
        <v>26</v>
      </c>
      <c r="B19" s="4">
        <v>4</v>
      </c>
      <c r="C19" s="4">
        <v>7</v>
      </c>
      <c r="D19" s="4">
        <v>4</v>
      </c>
      <c r="E19" s="4">
        <v>9</v>
      </c>
      <c r="F19" s="4">
        <v>5</v>
      </c>
      <c r="G19" s="4">
        <v>7</v>
      </c>
      <c r="H19" s="8">
        <f t="shared" si="0"/>
        <v>6</v>
      </c>
      <c r="L19" t="str">
        <v>Martín</v>
      </c>
    </row>
    <row r="20" spans="1:12" x14ac:dyDescent="0.25">
      <c r="A20" s="3" t="s">
        <v>27</v>
      </c>
      <c r="B20" s="4">
        <v>3</v>
      </c>
      <c r="C20" s="4">
        <v>8</v>
      </c>
      <c r="D20" s="4">
        <v>10</v>
      </c>
      <c r="E20" s="4">
        <v>10</v>
      </c>
      <c r="F20" s="4">
        <v>6</v>
      </c>
      <c r="G20" s="4">
        <v>10</v>
      </c>
      <c r="H20" s="8">
        <f t="shared" si="0"/>
        <v>8</v>
      </c>
      <c r="L20" t="str">
        <v>Montes</v>
      </c>
    </row>
    <row r="21" spans="1:12" x14ac:dyDescent="0.25">
      <c r="A21" s="3" t="s">
        <v>28</v>
      </c>
      <c r="B21" s="4">
        <v>8</v>
      </c>
      <c r="C21" s="4">
        <v>4</v>
      </c>
      <c r="D21" s="4">
        <v>6</v>
      </c>
      <c r="E21" s="4">
        <v>2</v>
      </c>
      <c r="F21" s="4">
        <v>8</v>
      </c>
      <c r="G21" s="4">
        <v>5</v>
      </c>
      <c r="H21" s="8">
        <f t="shared" si="0"/>
        <v>6</v>
      </c>
      <c r="L21" t="str">
        <v>Moreno</v>
      </c>
    </row>
    <row r="22" spans="1:12" x14ac:dyDescent="0.25">
      <c r="A22" s="3" t="s">
        <v>29</v>
      </c>
      <c r="B22" s="4">
        <v>10</v>
      </c>
      <c r="C22" s="4">
        <v>10</v>
      </c>
      <c r="D22" s="4">
        <v>10</v>
      </c>
      <c r="E22" s="4">
        <v>10</v>
      </c>
      <c r="F22" s="4">
        <v>8</v>
      </c>
      <c r="G22" s="4">
        <v>10</v>
      </c>
      <c r="H22" s="8">
        <f t="shared" si="0"/>
        <v>10</v>
      </c>
      <c r="L22" t="str">
        <v>Ochoa</v>
      </c>
    </row>
    <row r="23" spans="1:12" x14ac:dyDescent="0.25">
      <c r="A23" s="3" t="s">
        <v>30</v>
      </c>
      <c r="B23" s="4">
        <v>9</v>
      </c>
      <c r="C23" s="4">
        <v>8</v>
      </c>
      <c r="D23" s="4">
        <v>5</v>
      </c>
      <c r="E23" s="4">
        <v>7</v>
      </c>
      <c r="F23" s="4">
        <v>5</v>
      </c>
      <c r="G23" s="4">
        <v>3</v>
      </c>
      <c r="H23" s="8">
        <f t="shared" si="0"/>
        <v>6</v>
      </c>
      <c r="L23" t="str">
        <v>Pineda</v>
      </c>
    </row>
    <row r="24" spans="1:12" x14ac:dyDescent="0.25">
      <c r="A24" s="3" t="s">
        <v>31</v>
      </c>
      <c r="B24" s="4">
        <v>5</v>
      </c>
      <c r="C24" s="4">
        <v>7</v>
      </c>
      <c r="D24" s="4">
        <v>4</v>
      </c>
      <c r="E24" s="4">
        <v>9</v>
      </c>
      <c r="F24" s="4">
        <v>4</v>
      </c>
      <c r="G24" s="4">
        <v>6</v>
      </c>
      <c r="H24" s="8">
        <f t="shared" si="0"/>
        <v>6</v>
      </c>
      <c r="L24" t="str">
        <v>Rodríguez</v>
      </c>
    </row>
    <row r="25" spans="1:12" x14ac:dyDescent="0.25">
      <c r="A25" s="3" t="s">
        <v>32</v>
      </c>
      <c r="B25" s="4">
        <v>10</v>
      </c>
      <c r="C25" s="4">
        <v>9</v>
      </c>
      <c r="D25" s="4">
        <v>7</v>
      </c>
      <c r="E25" s="4">
        <v>10</v>
      </c>
      <c r="F25" s="4">
        <v>5</v>
      </c>
      <c r="G25" s="4">
        <v>6</v>
      </c>
      <c r="H25" s="8">
        <f t="shared" si="0"/>
        <v>8</v>
      </c>
      <c r="L25" t="str">
        <v>Romo</v>
      </c>
    </row>
    <row r="26" spans="1:12" x14ac:dyDescent="0.25">
      <c r="A26" s="3" t="s">
        <v>33</v>
      </c>
      <c r="B26" s="4">
        <v>6</v>
      </c>
      <c r="C26" s="4">
        <v>9</v>
      </c>
      <c r="D26" s="4">
        <v>10</v>
      </c>
      <c r="E26" s="4">
        <v>4</v>
      </c>
      <c r="F26" s="4">
        <v>10</v>
      </c>
      <c r="G26" s="4">
        <v>10</v>
      </c>
      <c r="H26" s="8">
        <f t="shared" si="0"/>
        <v>8</v>
      </c>
      <c r="L26" t="str">
        <v>Sánchez</v>
      </c>
    </row>
    <row r="27" spans="1:12" x14ac:dyDescent="0.25">
      <c r="A27" s="3" t="s">
        <v>34</v>
      </c>
      <c r="B27" s="4">
        <v>10</v>
      </c>
      <c r="C27" s="4">
        <v>10</v>
      </c>
      <c r="D27" s="4">
        <v>9</v>
      </c>
      <c r="E27" s="4">
        <v>6</v>
      </c>
      <c r="F27" s="4">
        <v>10</v>
      </c>
      <c r="G27" s="4">
        <v>10</v>
      </c>
      <c r="H27" s="8">
        <f t="shared" si="0"/>
        <v>9</v>
      </c>
      <c r="L27" t="str">
        <v>Talavera</v>
      </c>
    </row>
    <row r="28" spans="1:12" x14ac:dyDescent="0.25">
      <c r="A28" s="3" t="s">
        <v>35</v>
      </c>
      <c r="B28" s="4">
        <v>8</v>
      </c>
      <c r="C28" s="4">
        <v>5</v>
      </c>
      <c r="D28" s="4">
        <v>6</v>
      </c>
      <c r="E28" s="4">
        <v>7</v>
      </c>
      <c r="F28" s="4">
        <v>6</v>
      </c>
      <c r="G28" s="4">
        <v>5</v>
      </c>
      <c r="H28" s="8">
        <f t="shared" si="0"/>
        <v>6</v>
      </c>
      <c r="L28" t="str">
        <v>Vásquez</v>
      </c>
    </row>
    <row r="29" spans="1:12" x14ac:dyDescent="0.25">
      <c r="A29" s="3" t="s">
        <v>36</v>
      </c>
      <c r="B29" s="4">
        <v>6</v>
      </c>
      <c r="C29" s="4">
        <v>8</v>
      </c>
      <c r="D29" s="4">
        <v>7</v>
      </c>
      <c r="E29" s="4">
        <v>6</v>
      </c>
      <c r="F29" s="4">
        <v>5</v>
      </c>
      <c r="G29" s="4">
        <v>3</v>
      </c>
      <c r="H29" s="8">
        <f t="shared" si="0"/>
        <v>6</v>
      </c>
      <c r="L29" t="str">
        <v>Vega</v>
      </c>
    </row>
  </sheetData>
  <mergeCells count="3">
    <mergeCell ref="A1:H1"/>
    <mergeCell ref="A2:H2"/>
    <mergeCell ref="J4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Aldo Leal Palafox</cp:lastModifiedBy>
  <dcterms:created xsi:type="dcterms:W3CDTF">2023-05-23T21:59:34Z</dcterms:created>
  <dcterms:modified xsi:type="dcterms:W3CDTF">2025-12-29T05:22:20Z</dcterms:modified>
</cp:coreProperties>
</file>